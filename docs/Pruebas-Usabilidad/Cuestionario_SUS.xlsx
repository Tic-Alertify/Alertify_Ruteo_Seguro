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ebas\Documents\Universidad\Tesis\"/>
    </mc:Choice>
  </mc:AlternateContent>
  <xr:revisionPtr revIDLastSave="0" documentId="13_ncr:1_{0DE84BC4-D585-4E19-88A6-CC3BF79574D5}" xr6:coauthVersionLast="47" xr6:coauthVersionMax="47" xr10:uidLastSave="{00000000-0000-0000-0000-000000000000}"/>
  <bookViews>
    <workbookView xWindow="-109" yWindow="-109" windowWidth="26301" windowHeight="14169" xr2:uid="{295D238F-B033-41AD-8C69-2152F400841B}"/>
  </bookViews>
  <sheets>
    <sheet name="Preguntas Cuestionario SUS" sheetId="2" r:id="rId1"/>
    <sheet name="Resultados Su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6" i="1" l="1"/>
  <c r="G16" i="1"/>
  <c r="G17" i="1"/>
  <c r="G18" i="1"/>
  <c r="G19" i="1"/>
  <c r="G20" i="1"/>
  <c r="G21" i="1"/>
  <c r="G22" i="1"/>
  <c r="G23" i="1"/>
  <c r="G24" i="1"/>
  <c r="G15" i="1"/>
</calcChain>
</file>

<file path=xl/sharedStrings.xml><?xml version="1.0" encoding="utf-8"?>
<sst xmlns="http://schemas.openxmlformats.org/spreadsheetml/2006/main" count="63" uniqueCount="44">
  <si>
    <t>Participante</t>
  </si>
  <si>
    <t>P1 (+)</t>
  </si>
  <si>
    <t>P2 (-)</t>
  </si>
  <si>
    <t>P3 (+)</t>
  </si>
  <si>
    <t>P4 (-)</t>
  </si>
  <si>
    <t>P5 (+)</t>
  </si>
  <si>
    <t>P6 (-)</t>
  </si>
  <si>
    <t>P7 (+)</t>
  </si>
  <si>
    <t>P8 (-)</t>
  </si>
  <si>
    <t>P9 (+)</t>
  </si>
  <si>
    <t>P10 (-)</t>
  </si>
  <si>
    <t>Usuario 01</t>
  </si>
  <si>
    <t>Usuario 02</t>
  </si>
  <si>
    <t>Usuario 03</t>
  </si>
  <si>
    <t>Usuario 04</t>
  </si>
  <si>
    <t>Usuario 05</t>
  </si>
  <si>
    <t>Usuario 06</t>
  </si>
  <si>
    <t>Usuario 07</t>
  </si>
  <si>
    <t>Usuario 08</t>
  </si>
  <si>
    <t>Usuario 09</t>
  </si>
  <si>
    <t>Usuario 10</t>
  </si>
  <si>
    <t xml:space="preserve">N° </t>
  </si>
  <si>
    <t>Pregunta</t>
  </si>
  <si>
    <t xml:space="preserve"> Creo que me gustaría utilizar la aplicación frecuentemente.</t>
  </si>
  <si>
    <t>Encontré la aplicación innecesariamente compleja.</t>
  </si>
  <si>
    <t>Pensé que la generación de rutas era fácil de usar.</t>
  </si>
  <si>
    <t>Creo que necesitaría asistencia técnica para ser capaz de usar esta app.</t>
  </si>
  <si>
    <t>Encontré que las funciones del mapa estaban bien integradas.</t>
  </si>
  <si>
    <t>Pensé que había demasiada inconsistencia en la interfaz.</t>
  </si>
  <si>
    <t>Imagino que la mayoría de la gente aprendería a usar la aplicación rápidamente.</t>
  </si>
  <si>
    <t>Encontré el manejo del mapa muy difícil de usar.</t>
  </si>
  <si>
    <t>Me sentí muy confiado usando la aplicación.</t>
  </si>
  <si>
    <t>Necesité aprender muchas cosas antes de poder trazar una ruta segura.</t>
  </si>
  <si>
    <t xml:space="preserve">Edad </t>
  </si>
  <si>
    <t>Masculino</t>
  </si>
  <si>
    <t>Género</t>
  </si>
  <si>
    <t>Femenino</t>
  </si>
  <si>
    <t>Hora</t>
  </si>
  <si>
    <t>SUS</t>
  </si>
  <si>
    <t>Nivel de Aceptabilidad</t>
  </si>
  <si>
    <t xml:space="preserve">Impares </t>
  </si>
  <si>
    <t>Pares</t>
  </si>
  <si>
    <t>Resultado SUS</t>
  </si>
  <si>
    <t>Promedio SUS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</si>
</sst>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m/d/yyyy\ h:mm:ss"/>
  </numFmts>
  <fonts count="8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theme="8" tint="0.59999389629810485"/>
        <bgColor indexed="65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2" borderId="0" applyNumberFormat="0" applyBorder="0" applyAlignment="0" applyProtection="0"/>
    <xf numFmtId="0" fontId="2" fillId="3" borderId="0" applyNumberFormat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 readingOrder="1"/>
    </xf>
    <xf numFmtId="0" fontId="5" fillId="0" borderId="1" xfId="0" applyFont="1" applyBorder="1" applyAlignment="1">
      <alignment horizontal="center"/>
    </xf>
    <xf numFmtId="0" fontId="4" fillId="3" borderId="1" xfId="2" applyFont="1" applyBorder="1" applyAlignment="1">
      <alignment horizontal="center" vertical="center"/>
    </xf>
    <xf numFmtId="0" fontId="4" fillId="3" borderId="1" xfId="2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/>
    <xf numFmtId="0" fontId="1" fillId="0" borderId="2" xfId="0" applyFont="1" applyBorder="1" applyAlignment="1">
      <alignment horizontal="center" vertical="center" wrapText="1" readingOrder="1"/>
    </xf>
    <xf numFmtId="0" fontId="6" fillId="2" borderId="1" xfId="1" applyFont="1" applyBorder="1" applyAlignment="1">
      <alignment horizontal="center" vertical="center"/>
    </xf>
    <xf numFmtId="0" fontId="6" fillId="2" borderId="0" xfId="1" applyFont="1" applyAlignment="1">
      <alignment horizontal="center"/>
    </xf>
    <xf numFmtId="168" fontId="7" fillId="4" borderId="1" xfId="0" applyNumberFormat="1" applyFont="1" applyFill="1" applyBorder="1" applyAlignment="1">
      <alignment horizontal="center" vertical="center"/>
    </xf>
    <xf numFmtId="168" fontId="7" fillId="5" borderId="1" xfId="0" applyNumberFormat="1" applyFont="1" applyFill="1" applyBorder="1" applyAlignment="1">
      <alignment horizontal="center" vertical="center"/>
    </xf>
    <xf numFmtId="22" fontId="1" fillId="0" borderId="0" xfId="0" applyNumberFormat="1" applyFont="1" applyBorder="1" applyAlignment="1">
      <alignment horizontal="right" vertical="center" wrapText="1" indent="1" readingOrder="1"/>
    </xf>
    <xf numFmtId="0" fontId="1" fillId="0" borderId="0" xfId="0" applyFont="1" applyBorder="1" applyAlignment="1">
      <alignment horizontal="right" vertical="center" wrapText="1" indent="1" readingOrder="1"/>
    </xf>
    <xf numFmtId="0" fontId="5" fillId="0" borderId="0" xfId="0" applyFont="1"/>
    <xf numFmtId="0" fontId="4" fillId="3" borderId="1" xfId="2" applyFont="1" applyBorder="1" applyAlignment="1">
      <alignment horizontal="center" vertical="center" wrapText="1" readingOrder="1"/>
    </xf>
    <xf numFmtId="0" fontId="5" fillId="0" borderId="0" xfId="0" applyFont="1" applyBorder="1"/>
    <xf numFmtId="22" fontId="4" fillId="3" borderId="1" xfId="2" applyNumberFormat="1" applyFont="1" applyBorder="1" applyAlignment="1">
      <alignment horizontal="center" vertical="center" wrapText="1" readingOrder="1"/>
    </xf>
    <xf numFmtId="0" fontId="5" fillId="0" borderId="1" xfId="0" applyFont="1" applyBorder="1" applyAlignment="1">
      <alignment horizontal="center"/>
    </xf>
  </cellXfs>
  <cellStyles count="3">
    <cellStyle name="40% - Énfasis5" xfId="2" builtinId="47"/>
    <cellStyle name="Énfasis5" xfId="1" builtinId="45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83C53-8EF1-4051-B0FC-9A67507DB144}">
  <dimension ref="A2:C12"/>
  <sheetViews>
    <sheetView tabSelected="1" workbookViewId="0">
      <selection activeCell="C21" sqref="C21"/>
    </sheetView>
  </sheetViews>
  <sheetFormatPr baseColWidth="10" defaultRowHeight="14.3" x14ac:dyDescent="0.25"/>
  <cols>
    <col min="2" max="2" width="3.25" bestFit="1" customWidth="1"/>
    <col min="3" max="3" width="71.75" bestFit="1" customWidth="1"/>
  </cols>
  <sheetData>
    <row r="2" spans="1:3" x14ac:dyDescent="0.25">
      <c r="A2" s="1"/>
      <c r="B2" s="4" t="s">
        <v>21</v>
      </c>
      <c r="C2" s="5" t="s">
        <v>22</v>
      </c>
    </row>
    <row r="3" spans="1:3" x14ac:dyDescent="0.25">
      <c r="B3" s="6">
        <v>1</v>
      </c>
      <c r="C3" s="7" t="s">
        <v>23</v>
      </c>
    </row>
    <row r="4" spans="1:3" x14ac:dyDescent="0.25">
      <c r="B4" s="6">
        <v>2</v>
      </c>
      <c r="C4" s="7" t="s">
        <v>24</v>
      </c>
    </row>
    <row r="5" spans="1:3" x14ac:dyDescent="0.25">
      <c r="B5" s="6">
        <v>3</v>
      </c>
      <c r="C5" s="7" t="s">
        <v>25</v>
      </c>
    </row>
    <row r="6" spans="1:3" x14ac:dyDescent="0.25">
      <c r="B6" s="6">
        <v>4</v>
      </c>
      <c r="C6" s="7" t="s">
        <v>26</v>
      </c>
    </row>
    <row r="7" spans="1:3" x14ac:dyDescent="0.25">
      <c r="B7" s="6">
        <v>5</v>
      </c>
      <c r="C7" s="7" t="s">
        <v>27</v>
      </c>
    </row>
    <row r="8" spans="1:3" x14ac:dyDescent="0.25">
      <c r="B8" s="6">
        <v>6</v>
      </c>
      <c r="C8" s="7" t="s">
        <v>28</v>
      </c>
    </row>
    <row r="9" spans="1:3" x14ac:dyDescent="0.25">
      <c r="B9" s="6">
        <v>7</v>
      </c>
      <c r="C9" s="7" t="s">
        <v>29</v>
      </c>
    </row>
    <row r="10" spans="1:3" x14ac:dyDescent="0.25">
      <c r="B10" s="6">
        <v>8</v>
      </c>
      <c r="C10" s="7" t="s">
        <v>30</v>
      </c>
    </row>
    <row r="11" spans="1:3" x14ac:dyDescent="0.25">
      <c r="B11" s="6">
        <v>9</v>
      </c>
      <c r="C11" s="7" t="s">
        <v>31</v>
      </c>
    </row>
    <row r="12" spans="1:3" x14ac:dyDescent="0.25">
      <c r="B12" s="6">
        <v>10</v>
      </c>
      <c r="C12" s="7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C0BA-5CB5-4FB9-833C-5913DCDB3E8E}">
  <dimension ref="B2:O26"/>
  <sheetViews>
    <sheetView topLeftCell="A4" workbookViewId="0">
      <selection activeCell="H15" sqref="H15"/>
    </sheetView>
  </sheetViews>
  <sheetFormatPr baseColWidth="10" defaultRowHeight="14.3" x14ac:dyDescent="0.25"/>
  <cols>
    <col min="1" max="1" width="12.5" customWidth="1"/>
    <col min="2" max="2" width="16.5" bestFit="1" customWidth="1"/>
    <col min="3" max="3" width="12.5" bestFit="1" customWidth="1"/>
    <col min="4" max="4" width="6.625" bestFit="1" customWidth="1"/>
    <col min="5" max="5" width="9.875" bestFit="1" customWidth="1"/>
    <col min="6" max="6" width="12.875" bestFit="1" customWidth="1"/>
    <col min="7" max="7" width="15" customWidth="1"/>
    <col min="8" max="8" width="6.5" bestFit="1" customWidth="1"/>
    <col min="9" max="9" width="6" bestFit="1" customWidth="1"/>
    <col min="10" max="10" width="6.5" bestFit="1" customWidth="1"/>
    <col min="11" max="11" width="6" bestFit="1" customWidth="1"/>
    <col min="12" max="12" width="6.5" bestFit="1" customWidth="1"/>
    <col min="13" max="13" width="6" bestFit="1" customWidth="1"/>
    <col min="14" max="14" width="6.5" bestFit="1" customWidth="1"/>
    <col min="15" max="15" width="7.125" bestFit="1" customWidth="1"/>
  </cols>
  <sheetData>
    <row r="2" spans="2:15" x14ac:dyDescent="0.25">
      <c r="B2" s="10" t="s">
        <v>37</v>
      </c>
      <c r="C2" s="9" t="s">
        <v>0</v>
      </c>
      <c r="D2" s="9" t="s">
        <v>33</v>
      </c>
      <c r="E2" s="9" t="s">
        <v>35</v>
      </c>
      <c r="F2" s="9" t="s">
        <v>1</v>
      </c>
      <c r="G2" s="9" t="s">
        <v>2</v>
      </c>
      <c r="H2" s="9" t="s">
        <v>3</v>
      </c>
      <c r="I2" s="9" t="s">
        <v>4</v>
      </c>
      <c r="J2" s="9" t="s">
        <v>5</v>
      </c>
      <c r="K2" s="9" t="s">
        <v>6</v>
      </c>
      <c r="L2" s="9" t="s">
        <v>7</v>
      </c>
      <c r="M2" s="9" t="s">
        <v>8</v>
      </c>
      <c r="N2" s="9" t="s">
        <v>9</v>
      </c>
      <c r="O2" s="9" t="s">
        <v>10</v>
      </c>
    </row>
    <row r="3" spans="2:15" x14ac:dyDescent="0.25">
      <c r="B3" s="11">
        <v>46165.590451388889</v>
      </c>
      <c r="C3" s="8" t="s">
        <v>11</v>
      </c>
      <c r="D3" s="3">
        <v>19</v>
      </c>
      <c r="E3" s="3" t="s">
        <v>36</v>
      </c>
      <c r="F3" s="2">
        <v>4</v>
      </c>
      <c r="G3" s="2">
        <v>2</v>
      </c>
      <c r="H3" s="2">
        <v>4</v>
      </c>
      <c r="I3" s="2">
        <v>2</v>
      </c>
      <c r="J3" s="2">
        <v>4</v>
      </c>
      <c r="K3" s="2">
        <v>2</v>
      </c>
      <c r="L3" s="2">
        <v>4</v>
      </c>
      <c r="M3" s="2">
        <v>3</v>
      </c>
      <c r="N3" s="2">
        <v>4</v>
      </c>
      <c r="O3" s="2">
        <v>1</v>
      </c>
    </row>
    <row r="4" spans="2:15" x14ac:dyDescent="0.25">
      <c r="B4" s="12">
        <v>46165.601064814815</v>
      </c>
      <c r="C4" s="8" t="s">
        <v>12</v>
      </c>
      <c r="D4" s="3">
        <v>22</v>
      </c>
      <c r="E4" s="3" t="s">
        <v>34</v>
      </c>
      <c r="F4" s="2">
        <v>5</v>
      </c>
      <c r="G4" s="2">
        <v>2</v>
      </c>
      <c r="H4" s="2">
        <v>4</v>
      </c>
      <c r="I4" s="2">
        <v>1</v>
      </c>
      <c r="J4" s="2">
        <v>5</v>
      </c>
      <c r="K4" s="2">
        <v>2</v>
      </c>
      <c r="L4" s="2">
        <v>4</v>
      </c>
      <c r="M4" s="2">
        <v>4</v>
      </c>
      <c r="N4" s="2">
        <v>5</v>
      </c>
      <c r="O4" s="2">
        <v>1</v>
      </c>
    </row>
    <row r="5" spans="2:15" x14ac:dyDescent="0.25">
      <c r="B5" s="11">
        <v>46165.612592592595</v>
      </c>
      <c r="C5" s="8" t="s">
        <v>13</v>
      </c>
      <c r="D5" s="3">
        <v>21</v>
      </c>
      <c r="E5" s="3" t="s">
        <v>34</v>
      </c>
      <c r="F5" s="2">
        <v>4</v>
      </c>
      <c r="G5" s="2">
        <v>2</v>
      </c>
      <c r="H5" s="2">
        <v>4</v>
      </c>
      <c r="I5" s="2">
        <v>2</v>
      </c>
      <c r="J5" s="2">
        <v>3</v>
      </c>
      <c r="K5" s="2">
        <v>3</v>
      </c>
      <c r="L5" s="2">
        <v>4</v>
      </c>
      <c r="M5" s="2">
        <v>4</v>
      </c>
      <c r="N5" s="2">
        <v>4</v>
      </c>
      <c r="O5" s="2">
        <v>1</v>
      </c>
    </row>
    <row r="6" spans="2:15" x14ac:dyDescent="0.25">
      <c r="B6" s="12">
        <v>46165.626215277778</v>
      </c>
      <c r="C6" s="8" t="s">
        <v>14</v>
      </c>
      <c r="D6" s="3">
        <v>22</v>
      </c>
      <c r="E6" s="3" t="s">
        <v>34</v>
      </c>
      <c r="F6" s="2">
        <v>4</v>
      </c>
      <c r="G6" s="2">
        <v>1</v>
      </c>
      <c r="H6" s="2">
        <v>4</v>
      </c>
      <c r="I6" s="2">
        <v>2</v>
      </c>
      <c r="J6" s="2">
        <v>5</v>
      </c>
      <c r="K6" s="2">
        <v>2</v>
      </c>
      <c r="L6" s="2">
        <v>4</v>
      </c>
      <c r="M6" s="2">
        <v>4</v>
      </c>
      <c r="N6" s="2">
        <v>4</v>
      </c>
      <c r="O6" s="2">
        <v>1</v>
      </c>
    </row>
    <row r="7" spans="2:15" x14ac:dyDescent="0.25">
      <c r="B7" s="11">
        <v>46165.637731481482</v>
      </c>
      <c r="C7" s="8" t="s">
        <v>15</v>
      </c>
      <c r="D7" s="3">
        <v>22</v>
      </c>
      <c r="E7" s="3" t="s">
        <v>34</v>
      </c>
      <c r="F7" s="2">
        <v>5</v>
      </c>
      <c r="G7" s="2">
        <v>1</v>
      </c>
      <c r="H7" s="2">
        <v>5</v>
      </c>
      <c r="I7" s="2">
        <v>1</v>
      </c>
      <c r="J7" s="2">
        <v>4</v>
      </c>
      <c r="K7" s="2">
        <v>2</v>
      </c>
      <c r="L7" s="2">
        <v>5</v>
      </c>
      <c r="M7" s="2">
        <v>3</v>
      </c>
      <c r="N7" s="2">
        <v>4</v>
      </c>
      <c r="O7" s="2">
        <v>2</v>
      </c>
    </row>
    <row r="8" spans="2:15" x14ac:dyDescent="0.25">
      <c r="B8" s="11">
        <v>46165.649942129632</v>
      </c>
      <c r="C8" s="8" t="s">
        <v>16</v>
      </c>
      <c r="D8" s="3">
        <v>23</v>
      </c>
      <c r="E8" s="3" t="s">
        <v>34</v>
      </c>
      <c r="F8" s="2">
        <v>4</v>
      </c>
      <c r="G8" s="2">
        <v>2</v>
      </c>
      <c r="H8" s="2">
        <v>3</v>
      </c>
      <c r="I8" s="2">
        <v>2</v>
      </c>
      <c r="J8" s="2">
        <v>4</v>
      </c>
      <c r="K8" s="2">
        <v>2</v>
      </c>
      <c r="L8" s="2">
        <v>4</v>
      </c>
      <c r="M8" s="2">
        <v>3</v>
      </c>
      <c r="N8" s="2">
        <v>4</v>
      </c>
      <c r="O8" s="2">
        <v>1</v>
      </c>
    </row>
    <row r="9" spans="2:15" x14ac:dyDescent="0.25">
      <c r="B9" s="12">
        <v>46165.661226851851</v>
      </c>
      <c r="C9" s="8" t="s">
        <v>17</v>
      </c>
      <c r="D9" s="3">
        <v>20</v>
      </c>
      <c r="E9" s="3" t="s">
        <v>36</v>
      </c>
      <c r="F9" s="2">
        <v>4</v>
      </c>
      <c r="G9" s="2">
        <v>2</v>
      </c>
      <c r="H9" s="2">
        <v>4</v>
      </c>
      <c r="I9" s="2">
        <v>2</v>
      </c>
      <c r="J9" s="2">
        <v>4</v>
      </c>
      <c r="K9" s="2">
        <v>2</v>
      </c>
      <c r="L9" s="2">
        <v>4</v>
      </c>
      <c r="M9" s="2">
        <v>4</v>
      </c>
      <c r="N9" s="2">
        <v>4</v>
      </c>
      <c r="O9" s="2">
        <v>2</v>
      </c>
    </row>
    <row r="10" spans="2:15" x14ac:dyDescent="0.25">
      <c r="B10" s="11">
        <v>46165.673993055556</v>
      </c>
      <c r="C10" s="8" t="s">
        <v>18</v>
      </c>
      <c r="D10" s="3">
        <v>22</v>
      </c>
      <c r="E10" s="3" t="s">
        <v>34</v>
      </c>
      <c r="F10" s="2">
        <v>5</v>
      </c>
      <c r="G10" s="2">
        <v>2</v>
      </c>
      <c r="H10" s="2">
        <v>4</v>
      </c>
      <c r="I10" s="2">
        <v>1</v>
      </c>
      <c r="J10" s="2">
        <v>4</v>
      </c>
      <c r="K10" s="2">
        <v>2</v>
      </c>
      <c r="L10" s="2">
        <v>5</v>
      </c>
      <c r="M10" s="2">
        <v>3</v>
      </c>
      <c r="N10" s="2">
        <v>4</v>
      </c>
      <c r="O10" s="2">
        <v>2</v>
      </c>
    </row>
    <row r="11" spans="2:15" x14ac:dyDescent="0.25">
      <c r="B11" s="12">
        <v>46165.686655092592</v>
      </c>
      <c r="C11" s="8" t="s">
        <v>19</v>
      </c>
      <c r="D11" s="3">
        <v>21</v>
      </c>
      <c r="E11" s="3" t="s">
        <v>36</v>
      </c>
      <c r="F11" s="2">
        <v>4</v>
      </c>
      <c r="G11" s="2">
        <v>2</v>
      </c>
      <c r="H11" s="2">
        <v>5</v>
      </c>
      <c r="I11" s="2">
        <v>2</v>
      </c>
      <c r="J11" s="2">
        <v>4</v>
      </c>
      <c r="K11" s="2">
        <v>2</v>
      </c>
      <c r="L11" s="2">
        <v>4</v>
      </c>
      <c r="M11" s="2">
        <v>4</v>
      </c>
      <c r="N11" s="2">
        <v>4</v>
      </c>
      <c r="O11" s="2">
        <v>1</v>
      </c>
    </row>
    <row r="12" spans="2:15" x14ac:dyDescent="0.25">
      <c r="B12" s="11">
        <v>46165.698055555556</v>
      </c>
      <c r="C12" s="8" t="s">
        <v>20</v>
      </c>
      <c r="D12" s="3">
        <v>20</v>
      </c>
      <c r="E12" s="3" t="s">
        <v>36</v>
      </c>
      <c r="F12" s="2">
        <v>4</v>
      </c>
      <c r="G12" s="2">
        <v>2</v>
      </c>
      <c r="H12" s="2">
        <v>4</v>
      </c>
      <c r="I12" s="2">
        <v>2</v>
      </c>
      <c r="J12" s="2">
        <v>5</v>
      </c>
      <c r="K12" s="2">
        <v>2</v>
      </c>
      <c r="L12" s="2">
        <v>5</v>
      </c>
      <c r="M12" s="2">
        <v>3</v>
      </c>
      <c r="N12" s="2">
        <v>4</v>
      </c>
      <c r="O12" s="2">
        <v>2</v>
      </c>
    </row>
    <row r="13" spans="2:15" x14ac:dyDescent="0.25"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</row>
    <row r="14" spans="2:15" ht="42.8" x14ac:dyDescent="0.25">
      <c r="B14" s="16" t="s">
        <v>0</v>
      </c>
      <c r="C14" s="16" t="s">
        <v>40</v>
      </c>
      <c r="D14" s="16" t="s">
        <v>41</v>
      </c>
      <c r="E14" s="16" t="s">
        <v>38</v>
      </c>
      <c r="F14" s="16" t="s">
        <v>42</v>
      </c>
      <c r="G14" s="16" t="s">
        <v>39</v>
      </c>
      <c r="H14" s="15"/>
      <c r="I14" s="15"/>
      <c r="J14" s="15"/>
      <c r="K14" s="15"/>
      <c r="L14" s="15"/>
      <c r="M14" s="15"/>
      <c r="N14" s="15"/>
      <c r="O14" s="15"/>
    </row>
    <row r="15" spans="2:15" x14ac:dyDescent="0.25">
      <c r="B15" s="2" t="s">
        <v>11</v>
      </c>
      <c r="C15" s="2">
        <v>15</v>
      </c>
      <c r="D15" s="2">
        <v>15</v>
      </c>
      <c r="E15" s="2">
        <v>30</v>
      </c>
      <c r="F15" s="2">
        <v>75</v>
      </c>
      <c r="G15" s="3" t="str">
        <f>IF(F15&gt;=80, "Excelente", IF(F15&gt;=70, "Buena", IF(F15&gt;=50, "Marginal", "Inaceptable")))</f>
        <v>Buena</v>
      </c>
      <c r="H15" s="15"/>
      <c r="I15" s="15"/>
      <c r="J15" s="15"/>
      <c r="K15" s="15"/>
      <c r="L15" s="15"/>
      <c r="M15" s="15"/>
      <c r="N15" s="15"/>
      <c r="O15" s="15"/>
    </row>
    <row r="16" spans="2:15" x14ac:dyDescent="0.25">
      <c r="B16" s="2" t="s">
        <v>12</v>
      </c>
      <c r="C16" s="2">
        <v>18</v>
      </c>
      <c r="D16" s="2">
        <v>15</v>
      </c>
      <c r="E16" s="2">
        <v>33</v>
      </c>
      <c r="F16" s="2">
        <v>82.5</v>
      </c>
      <c r="G16" s="3" t="str">
        <f t="shared" ref="G16:G24" si="0">IF(F16&gt;=80, "Excelente", IF(F16&gt;=70, "Buena", IF(F16&gt;=50, "Marginal", "Inaceptable")))</f>
        <v>Excelente</v>
      </c>
      <c r="H16" s="15"/>
      <c r="I16" s="15"/>
      <c r="J16" s="15"/>
      <c r="K16" s="15"/>
      <c r="L16" s="15"/>
      <c r="M16" s="15"/>
      <c r="N16" s="15"/>
      <c r="O16" s="15"/>
    </row>
    <row r="17" spans="2:15" x14ac:dyDescent="0.25">
      <c r="B17" s="2" t="s">
        <v>13</v>
      </c>
      <c r="C17" s="2">
        <v>14</v>
      </c>
      <c r="D17" s="2">
        <v>13</v>
      </c>
      <c r="E17" s="2">
        <v>27</v>
      </c>
      <c r="F17" s="2">
        <v>67.5</v>
      </c>
      <c r="G17" s="3" t="str">
        <f t="shared" si="0"/>
        <v>Marginal</v>
      </c>
      <c r="H17" s="15"/>
      <c r="I17" s="15"/>
      <c r="J17" s="15"/>
      <c r="K17" s="15"/>
      <c r="L17" s="15"/>
      <c r="M17" s="15"/>
      <c r="N17" s="15"/>
      <c r="O17" s="15"/>
    </row>
    <row r="18" spans="2:15" x14ac:dyDescent="0.25">
      <c r="B18" s="2" t="s">
        <v>14</v>
      </c>
      <c r="C18" s="2">
        <v>16</v>
      </c>
      <c r="D18" s="2">
        <v>15</v>
      </c>
      <c r="E18" s="2">
        <v>31</v>
      </c>
      <c r="F18" s="2">
        <v>77.5</v>
      </c>
      <c r="G18" s="3" t="str">
        <f t="shared" si="0"/>
        <v>Buena</v>
      </c>
      <c r="H18" s="15"/>
      <c r="I18" s="15"/>
      <c r="J18" s="15"/>
      <c r="K18" s="15"/>
      <c r="L18" s="15"/>
      <c r="M18" s="15"/>
      <c r="N18" s="15"/>
      <c r="O18" s="15"/>
    </row>
    <row r="19" spans="2:15" x14ac:dyDescent="0.25">
      <c r="B19" s="2" t="s">
        <v>15</v>
      </c>
      <c r="C19" s="2">
        <v>18</v>
      </c>
      <c r="D19" s="2">
        <v>16</v>
      </c>
      <c r="E19" s="2">
        <v>34</v>
      </c>
      <c r="F19" s="2">
        <v>85</v>
      </c>
      <c r="G19" s="3" t="str">
        <f t="shared" si="0"/>
        <v>Excelente</v>
      </c>
      <c r="H19" s="15"/>
      <c r="I19" s="15"/>
      <c r="J19" s="15"/>
      <c r="K19" s="15"/>
      <c r="L19" s="15"/>
      <c r="M19" s="15"/>
      <c r="N19" s="15"/>
      <c r="O19" s="15"/>
    </row>
    <row r="20" spans="2:15" x14ac:dyDescent="0.25">
      <c r="B20" s="2" t="s">
        <v>16</v>
      </c>
      <c r="C20" s="2">
        <v>14</v>
      </c>
      <c r="D20" s="2">
        <v>15</v>
      </c>
      <c r="E20" s="2">
        <v>29</v>
      </c>
      <c r="F20" s="2">
        <v>72.5</v>
      </c>
      <c r="G20" s="3" t="str">
        <f t="shared" si="0"/>
        <v>Buena</v>
      </c>
      <c r="H20" s="15"/>
      <c r="I20" s="15"/>
      <c r="J20" s="15"/>
      <c r="K20" s="15"/>
      <c r="L20" s="15"/>
      <c r="M20" s="15"/>
      <c r="N20" s="15"/>
      <c r="O20" s="15"/>
    </row>
    <row r="21" spans="2:15" x14ac:dyDescent="0.25">
      <c r="B21" s="2" t="s">
        <v>17</v>
      </c>
      <c r="C21" s="2">
        <v>15</v>
      </c>
      <c r="D21" s="2">
        <v>13</v>
      </c>
      <c r="E21" s="2">
        <v>28</v>
      </c>
      <c r="F21" s="2">
        <v>70</v>
      </c>
      <c r="G21" s="3" t="str">
        <f t="shared" si="0"/>
        <v>Buena</v>
      </c>
      <c r="H21" s="15"/>
      <c r="I21" s="15"/>
      <c r="J21" s="15"/>
      <c r="K21" s="15"/>
      <c r="L21" s="15"/>
      <c r="M21" s="15"/>
      <c r="N21" s="15"/>
      <c r="O21" s="15"/>
    </row>
    <row r="22" spans="2:15" x14ac:dyDescent="0.25">
      <c r="B22" s="2" t="s">
        <v>18</v>
      </c>
      <c r="C22" s="2">
        <v>17</v>
      </c>
      <c r="D22" s="2">
        <v>15</v>
      </c>
      <c r="E22" s="2">
        <v>32</v>
      </c>
      <c r="F22" s="2">
        <v>80</v>
      </c>
      <c r="G22" s="3" t="str">
        <f t="shared" si="0"/>
        <v>Excelente</v>
      </c>
      <c r="H22" s="15"/>
      <c r="I22" s="15"/>
      <c r="J22" s="15"/>
      <c r="K22" s="15"/>
      <c r="L22" s="15"/>
      <c r="M22" s="15"/>
      <c r="N22" s="15"/>
      <c r="O22" s="15"/>
    </row>
    <row r="23" spans="2:15" x14ac:dyDescent="0.25">
      <c r="B23" s="2" t="s">
        <v>19</v>
      </c>
      <c r="C23" s="2">
        <v>16</v>
      </c>
      <c r="D23" s="2">
        <v>14</v>
      </c>
      <c r="E23" s="2">
        <v>30</v>
      </c>
      <c r="F23" s="2">
        <v>75</v>
      </c>
      <c r="G23" s="3" t="str">
        <f t="shared" si="0"/>
        <v>Buena</v>
      </c>
      <c r="H23" s="15"/>
      <c r="I23" s="15"/>
      <c r="J23" s="15"/>
      <c r="K23" s="15"/>
      <c r="L23" s="15"/>
      <c r="M23" s="15"/>
      <c r="N23" s="15"/>
      <c r="O23" s="15"/>
    </row>
    <row r="24" spans="2:15" x14ac:dyDescent="0.25">
      <c r="B24" s="2" t="s">
        <v>20</v>
      </c>
      <c r="C24" s="2">
        <v>17</v>
      </c>
      <c r="D24" s="2">
        <v>14</v>
      </c>
      <c r="E24" s="2">
        <v>31</v>
      </c>
      <c r="F24" s="2">
        <v>77.5</v>
      </c>
      <c r="G24" s="3" t="str">
        <f t="shared" si="0"/>
        <v>Buena</v>
      </c>
      <c r="H24" s="15"/>
      <c r="I24" s="15"/>
      <c r="J24" s="15"/>
      <c r="K24" s="15"/>
      <c r="L24" s="15"/>
      <c r="M24" s="15"/>
      <c r="N24" s="15"/>
      <c r="O24" s="15"/>
    </row>
    <row r="25" spans="2:15" x14ac:dyDescent="0.25">
      <c r="B25" s="13"/>
      <c r="C25" s="14"/>
      <c r="D25" s="17"/>
      <c r="E25" s="17"/>
      <c r="F25" s="13"/>
      <c r="G25" s="14"/>
      <c r="H25" s="15"/>
      <c r="I25" s="15"/>
      <c r="J25" s="15"/>
      <c r="K25" s="15"/>
      <c r="L25" s="15"/>
      <c r="M25" s="15"/>
      <c r="N25" s="15"/>
      <c r="O25" s="15"/>
    </row>
    <row r="26" spans="2:15" x14ac:dyDescent="0.25">
      <c r="B26" s="18" t="s">
        <v>43</v>
      </c>
      <c r="C26" s="18"/>
      <c r="D26" s="19">
        <f>AVERAGE(F15:F24)</f>
        <v>76.25</v>
      </c>
      <c r="E26" s="19"/>
      <c r="F26" s="19"/>
      <c r="G26" s="19"/>
      <c r="H26" s="15"/>
      <c r="I26" s="15"/>
      <c r="J26" s="15"/>
      <c r="K26" s="15"/>
      <c r="L26" s="15"/>
      <c r="M26" s="15"/>
      <c r="N26" s="15"/>
      <c r="O26" s="15"/>
    </row>
  </sheetData>
  <mergeCells count="2">
    <mergeCell ref="B26:C26"/>
    <mergeCell ref="D26:G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Preguntas Cuestionario SUS</vt:lpstr>
      <vt:lpstr>Resultados Sus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SEBASTIAN BALLAS PAGUAY</dc:creator>
  <cp:lastModifiedBy>ERICK SEBASTIAN BALLAS PAGUAY</cp:lastModifiedBy>
  <dcterms:created xsi:type="dcterms:W3CDTF">2026-06-01T04:53:18Z</dcterms:created>
  <dcterms:modified xsi:type="dcterms:W3CDTF">2026-06-07T03:08:06Z</dcterms:modified>
</cp:coreProperties>
</file>